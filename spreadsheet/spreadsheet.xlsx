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<sst xmlns="http://schemas.openxmlformats.org/spreadsheetml/2006/main" count="68" uniqueCount="49">
  <si>
    <t>System Parameters (defined by hardware)</t>
  </si>
  <si>
    <t>Profiles (usage of each component mode - defined by software and usage)</t>
  </si>
  <si>
    <t>form the datasheets</t>
  </si>
  <si>
    <t>"off"</t>
  </si>
  <si>
    <t>"sensing"</t>
  </si>
  <si>
    <t>"interactive"</t>
  </si>
  <si>
    <t>Processor - xiao esp32</t>
  </si>
  <si>
    <t>https://files.seeedstudio.com/wiki/XIAO_WiFi/Resources/esp32-c3_datasheet.pdf</t>
  </si>
  <si>
    <t>Active</t>
  </si>
  <si>
    <t>mW</t>
  </si>
  <si>
    <t>Idle</t>
  </si>
  <si>
    <t>Sleep</t>
  </si>
  <si>
    <t>NeoPixel（WS2812, 1 LED）</t>
  </si>
  <si>
    <t>https://www.handsontec.com/dataspecs/module/WS2812%20Neopixel%20Ringx24.pdf</t>
  </si>
  <si>
    <t>On</t>
  </si>
  <si>
    <t>X27 stepper motor</t>
  </si>
  <si>
    <t>http://agr.ucoz.lv/files/SP_X27_e_C.pdf</t>
  </si>
  <si>
    <t>Standby</t>
  </si>
  <si>
    <t>Display - SSD1306</t>
  </si>
  <si>
    <t>https://cdn-shop.adafruit.com/datasheets/SSD1306.pdf</t>
  </si>
  <si>
    <t>Off (leakage)</t>
  </si>
  <si>
    <t>Radio - BLE</t>
  </si>
  <si>
    <t>Data Rate</t>
  </si>
  <si>
    <t>bps</t>
  </si>
  <si>
    <t>Total power in profile (mw)</t>
  </si>
  <si>
    <t xml:space="preserve">Maximum Time </t>
  </si>
  <si>
    <t>Standby Power</t>
  </si>
  <si>
    <t>hours</t>
  </si>
  <si>
    <t>TX Power</t>
  </si>
  <si>
    <t>RX Power</t>
  </si>
  <si>
    <t>Passive Buzzer</t>
  </si>
  <si>
    <t>1 Tac button</t>
  </si>
  <si>
    <t>hours/day typical usage</t>
  </si>
  <si>
    <t>Effective Battery Capacity</t>
  </si>
  <si>
    <t>Battery</t>
  </si>
  <si>
    <t>mW*h</t>
  </si>
  <si>
    <t>Capacity</t>
  </si>
  <si>
    <t>mAh</t>
  </si>
  <si>
    <t>Nominal Voltage</t>
  </si>
  <si>
    <t>V</t>
  </si>
  <si>
    <t>Days of Use</t>
  </si>
  <si>
    <t>days</t>
  </si>
  <si>
    <t>Regulator Efficiency</t>
  </si>
  <si>
    <t>Hours of Use</t>
  </si>
  <si>
    <r>
      <rPr>
        <rFont val="Arial"/>
        <b/>
        <color theme="1"/>
      </rPr>
      <t xml:space="preserve">REFLECTIONS : WHAT DID YOU LEARN FROM ANALYZING YOUR POWER.  TALK ABOUT SOME POTENTIAL TRADEOFFS. 
</t>
    </r>
    <r>
      <rPr>
        <rFont val="Arial"/>
        <b val="0"/>
        <color theme="1"/>
        <sz val="12.0"/>
      </rPr>
      <t>the ESP32 active state and the stepper motor standby power contribute significantly to overall energy usage, even though the motor only moves occasionally.</t>
    </r>
  </si>
  <si>
    <t>How did you determine your "days of use" metric ?
I modeled a typical day as 13 hours powered off, 9 hours in a low-power sensing/monitoring state, and 2 hours in an interactive feedback state.</t>
  </si>
  <si>
    <t>What do you think is the optimum size for the battery in your device ?
Based on the analysis, an optimal battery size for this device is approximately 1500 mAh. This capacity provides around three days of use, which strikes a good balance between user convenience and physical constraints.</t>
  </si>
  <si>
    <t>What hardware/software/cost/effort tradeoffs could you make to improve the user experience ?</t>
  </si>
  <si>
    <t>Reduce stepper standby consumption by disabling holding torque when the needle is not moving.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</si>
</sst>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1.0"/>
      <color theme="1"/>
      <name val="Arial"/>
    </font>
    <font>
      <u/>
      <color rgb="FF0000FF"/>
      <name val="Arial"/>
    </font>
    <font>
      <sz val="12.0"/>
      <color rgb="FF1F2328"/>
      <name val="Arial"/>
    </font>
    <font>
      <u/>
      <color rgb="FF0000FF"/>
      <name val="Arial"/>
    </font>
    <font>
      <b/>
      <color theme="1"/>
      <name val="Arial"/>
      <scheme val="minor"/>
    </font>
    <font>
      <sz val="12.0"/>
      <color rgb="FF273540"/>
      <name val="Arial"/>
    </font>
    <font>
      <sz val="12.0"/>
      <color rgb="FF273540"/>
      <name val="LatoWeb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5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4" fillId="0" fontId="2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0" fillId="2" fontId="5" numFmtId="0" xfId="0" applyAlignment="1" applyFill="1" applyFont="1">
      <alignment readingOrder="0"/>
    </xf>
    <xf borderId="0" fillId="2" fontId="1" numFmtId="9" xfId="0" applyAlignment="1" applyFont="1" applyNumberFormat="1">
      <alignment horizontal="right" vertical="bottom"/>
    </xf>
    <xf borderId="0" fillId="2" fontId="3" numFmtId="9" xfId="0" applyAlignment="1" applyFont="1" applyNumberFormat="1">
      <alignment horizontal="right" readingOrder="0" vertical="bottom"/>
    </xf>
    <xf borderId="0" fillId="2" fontId="1" numFmtId="9" xfId="0" applyAlignment="1" applyFont="1" applyNumberFormat="1">
      <alignment horizontal="right" readingOrder="0" vertical="bottom"/>
    </xf>
    <xf borderId="0" fillId="2" fontId="5" numFmtId="1" xfId="0" applyAlignment="1" applyFont="1" applyNumberFormat="1">
      <alignment readingOrder="0"/>
    </xf>
    <xf borderId="0" fillId="2" fontId="1" numFmtId="1" xfId="0" applyAlignment="1" applyFont="1" applyNumberFormat="1">
      <alignment horizontal="right" readingOrder="0" vertical="bottom"/>
    </xf>
    <xf borderId="0" fillId="0" fontId="1" numFmtId="1" xfId="0" applyAlignment="1" applyFont="1" applyNumberFormat="1">
      <alignment vertical="bottom"/>
    </xf>
    <xf borderId="0" fillId="0" fontId="6" numFmtId="1" xfId="0" applyAlignment="1" applyFont="1" applyNumberFormat="1">
      <alignment readingOrder="0" vertical="bottom"/>
    </xf>
    <xf borderId="4" fillId="0" fontId="1" numFmtId="0" xfId="0" applyAlignment="1" applyBorder="1" applyFont="1">
      <alignment readingOrder="0" vertical="bottom"/>
    </xf>
    <xf borderId="0" fillId="2" fontId="1" numFmtId="0" xfId="0" applyAlignment="1" applyFont="1">
      <alignment horizontal="right" readingOrder="0"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horizontal="right" vertical="bottom"/>
    </xf>
    <xf borderId="0" fillId="3" fontId="1" numFmtId="164" xfId="0" applyAlignment="1" applyFont="1" applyNumberFormat="1">
      <alignment horizontal="center" vertical="bottom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9" xfId="0" applyAlignment="1" applyFont="1" applyNumberFormat="1">
      <alignment readingOrder="0" vertical="bottom"/>
    </xf>
    <xf borderId="0" fillId="2" fontId="1" numFmtId="0" xfId="0" applyAlignment="1" applyFont="1">
      <alignment readingOrder="0" vertical="bottom"/>
    </xf>
    <xf borderId="0" fillId="2" fontId="1" numFmtId="9" xfId="0" applyAlignment="1" applyFont="1" applyNumberFormat="1">
      <alignment readingOrder="0" vertical="bottom"/>
    </xf>
    <xf borderId="0" fillId="0" fontId="1" numFmtId="0" xfId="0" applyAlignment="1" applyFont="1">
      <alignment horizontal="right" vertical="bottom"/>
    </xf>
    <xf borderId="0" fillId="4" fontId="2" numFmtId="0" xfId="0" applyAlignment="1" applyFill="1" applyFont="1">
      <alignment vertical="bottom"/>
    </xf>
    <xf borderId="0" fillId="4" fontId="2" numFmtId="2" xfId="0" applyAlignment="1" applyFont="1" applyNumberFormat="1">
      <alignment horizontal="center"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5" fontId="8" numFmtId="0" xfId="0" applyAlignment="1" applyFill="1" applyFont="1">
      <alignment readingOrder="0"/>
    </xf>
    <xf borderId="0" fillId="5" fontId="9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les.seeedstudio.com/wiki/XIAO_WiFi/Resources/esp32-c3_datasheet.pdf" TargetMode="External"/><Relationship Id="rId2" Type="http://schemas.openxmlformats.org/officeDocument/2006/relationships/hyperlink" Target="https://www.handsontec.com/dataspecs/module/WS2812%20Neopixel%20Ringx24.pdf" TargetMode="External"/><Relationship Id="rId3" Type="http://schemas.openxmlformats.org/officeDocument/2006/relationships/hyperlink" Target="http://agr.ucoz.lv/files/SP_X27_e_C.pdf" TargetMode="External"/><Relationship Id="rId4" Type="http://schemas.openxmlformats.org/officeDocument/2006/relationships/hyperlink" Target="https://cdn-shop.adafruit.com/datasheets/SSD1306.pdf" TargetMode="External"/><Relationship Id="rId5" Type="http://schemas.openxmlformats.org/officeDocument/2006/relationships/hyperlink" Target="https://files.seeedstudio.com/wiki/XIAO_WiFi/Resources/esp32-c3_datasheet.pdf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9.13"/>
    <col customWidth="1" min="2" max="2" width="65.13"/>
    <col customWidth="1" min="3" max="3" width="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2"/>
      <c r="B2" s="3"/>
      <c r="C2" s="3"/>
      <c r="D2" s="3"/>
      <c r="E2" s="3"/>
      <c r="F2" s="3"/>
      <c r="G2" s="3"/>
      <c r="H2" s="3"/>
      <c r="I2" s="4"/>
      <c r="J2" s="1"/>
      <c r="K2" s="1"/>
      <c r="L2" s="1"/>
      <c r="M2" s="1"/>
      <c r="N2" s="1"/>
      <c r="O2" s="1"/>
      <c r="P2" s="1"/>
      <c r="Q2" s="1"/>
    </row>
    <row r="3">
      <c r="A3" s="5" t="s">
        <v>0</v>
      </c>
      <c r="B3" s="1"/>
      <c r="C3" s="1"/>
      <c r="D3" s="1"/>
      <c r="E3" s="6" t="s">
        <v>1</v>
      </c>
      <c r="F3" s="1"/>
      <c r="G3" s="1"/>
      <c r="H3" s="1"/>
      <c r="I3" s="7"/>
      <c r="J3" s="1"/>
      <c r="K3" s="1"/>
      <c r="L3" s="1"/>
      <c r="M3" s="1"/>
      <c r="N3" s="1"/>
      <c r="O3" s="1"/>
      <c r="P3" s="1"/>
      <c r="Q3" s="1"/>
    </row>
    <row r="4">
      <c r="A4" s="8"/>
      <c r="B4" s="9" t="s">
        <v>2</v>
      </c>
      <c r="C4" s="1"/>
      <c r="D4" s="1"/>
      <c r="E4" s="1"/>
      <c r="F4" s="1"/>
      <c r="G4" s="1"/>
      <c r="H4" s="1"/>
      <c r="I4" s="7"/>
      <c r="J4" s="1"/>
      <c r="K4" s="1"/>
      <c r="L4" s="1"/>
      <c r="M4" s="1"/>
      <c r="N4" s="1"/>
      <c r="O4" s="1"/>
      <c r="P4" s="1"/>
      <c r="Q4" s="1"/>
    </row>
    <row r="5">
      <c r="A5" s="8"/>
      <c r="B5" s="1"/>
      <c r="C5" s="1"/>
      <c r="D5" s="1"/>
      <c r="E5" s="1" t="s">
        <v>3</v>
      </c>
      <c r="F5" s="1" t="s">
        <v>4</v>
      </c>
      <c r="G5" s="1" t="s">
        <v>5</v>
      </c>
      <c r="H5" s="1"/>
      <c r="I5" s="7"/>
      <c r="J5" s="1"/>
      <c r="K5" s="1"/>
      <c r="L5" s="1"/>
      <c r="M5" s="1"/>
      <c r="N5" s="1"/>
      <c r="O5" s="1"/>
      <c r="P5" s="1"/>
      <c r="Q5" s="1"/>
    </row>
    <row r="6">
      <c r="A6" s="10" t="s">
        <v>6</v>
      </c>
      <c r="B6" s="11" t="s">
        <v>7</v>
      </c>
      <c r="C6" s="1"/>
      <c r="D6" s="1"/>
      <c r="E6" s="1"/>
      <c r="F6" s="1"/>
      <c r="G6" s="1"/>
      <c r="H6" s="1"/>
      <c r="I6" s="7"/>
      <c r="J6" s="1"/>
      <c r="K6" s="1"/>
      <c r="L6" s="1"/>
      <c r="M6" s="1"/>
      <c r="N6" s="1"/>
      <c r="O6" s="1"/>
      <c r="P6" s="1"/>
      <c r="Q6" s="1"/>
    </row>
    <row r="7">
      <c r="A7" s="8" t="s">
        <v>8</v>
      </c>
      <c r="B7" s="12">
        <v>154.25</v>
      </c>
      <c r="C7" s="1" t="s">
        <v>9</v>
      </c>
      <c r="D7" s="1"/>
      <c r="E7" s="13">
        <v>0.0</v>
      </c>
      <c r="F7" s="14">
        <v>0.1</v>
      </c>
      <c r="G7" s="15">
        <v>0.4</v>
      </c>
      <c r="H7" s="1"/>
      <c r="I7" s="7"/>
      <c r="J7" s="1"/>
      <c r="K7" s="1"/>
      <c r="L7" s="1"/>
      <c r="M7" s="1"/>
      <c r="N7" s="1"/>
      <c r="O7" s="1"/>
      <c r="P7" s="1"/>
      <c r="Q7" s="1"/>
    </row>
    <row r="8">
      <c r="A8" s="8" t="s">
        <v>10</v>
      </c>
      <c r="B8" s="16">
        <v>2.535</v>
      </c>
      <c r="C8" s="1" t="s">
        <v>9</v>
      </c>
      <c r="D8" s="1"/>
      <c r="E8" s="13">
        <v>0.0</v>
      </c>
      <c r="F8" s="14">
        <v>0.3</v>
      </c>
      <c r="G8" s="15">
        <v>0.4</v>
      </c>
      <c r="H8" s="1"/>
      <c r="I8" s="7"/>
      <c r="J8" s="1"/>
      <c r="K8" s="1"/>
      <c r="L8" s="1"/>
      <c r="M8" s="1"/>
      <c r="N8" s="1"/>
      <c r="O8" s="1"/>
      <c r="P8" s="1"/>
      <c r="Q8" s="1"/>
    </row>
    <row r="9">
      <c r="A9" s="8" t="s">
        <v>11</v>
      </c>
      <c r="B9" s="16">
        <v>0.89</v>
      </c>
      <c r="C9" s="1" t="s">
        <v>9</v>
      </c>
      <c r="D9" s="1"/>
      <c r="E9" s="15">
        <v>1.0</v>
      </c>
      <c r="F9" s="15">
        <v>0.6</v>
      </c>
      <c r="G9" s="15">
        <v>0.2</v>
      </c>
      <c r="H9" s="1"/>
      <c r="I9" s="7"/>
      <c r="J9" s="1"/>
      <c r="K9" s="1"/>
      <c r="L9" s="1"/>
      <c r="M9" s="1"/>
      <c r="N9" s="1"/>
      <c r="O9" s="1"/>
      <c r="P9" s="1"/>
      <c r="Q9" s="1"/>
    </row>
    <row r="10">
      <c r="A10" s="8"/>
      <c r="B10" s="1"/>
      <c r="C10" s="1"/>
      <c r="D10" s="1"/>
      <c r="E10" s="1"/>
      <c r="F10" s="1"/>
      <c r="G10" s="1"/>
      <c r="H10" s="1"/>
      <c r="I10" s="7"/>
      <c r="J10" s="1"/>
      <c r="K10" s="1"/>
      <c r="L10" s="1"/>
      <c r="M10" s="1"/>
      <c r="N10" s="1"/>
      <c r="O10" s="1"/>
      <c r="P10" s="1"/>
      <c r="Q10" s="1"/>
    </row>
    <row r="11">
      <c r="A11" s="10" t="s">
        <v>12</v>
      </c>
      <c r="B11" s="11" t="s">
        <v>13</v>
      </c>
      <c r="C11" s="1"/>
      <c r="D11" s="1"/>
      <c r="E11" s="1"/>
      <c r="F11" s="1"/>
      <c r="G11" s="1"/>
      <c r="H11" s="1"/>
      <c r="I11" s="7"/>
      <c r="J11" s="1"/>
      <c r="K11" s="1"/>
      <c r="L11" s="1"/>
      <c r="M11" s="1"/>
      <c r="N11" s="1"/>
      <c r="O11" s="1"/>
      <c r="P11" s="1"/>
      <c r="Q11" s="1"/>
    </row>
    <row r="12">
      <c r="A12" s="8" t="s">
        <v>14</v>
      </c>
      <c r="B12" s="17">
        <v>50.0</v>
      </c>
      <c r="C12" s="1" t="s">
        <v>9</v>
      </c>
      <c r="D12" s="1"/>
      <c r="E12" s="13">
        <v>0.0</v>
      </c>
      <c r="F12" s="15">
        <v>0.05</v>
      </c>
      <c r="G12" s="15">
        <v>0.3</v>
      </c>
      <c r="H12" s="1"/>
      <c r="I12" s="7"/>
      <c r="J12" s="1"/>
      <c r="K12" s="1"/>
      <c r="L12" s="1"/>
      <c r="M12" s="1"/>
      <c r="N12" s="1"/>
      <c r="O12" s="1"/>
      <c r="P12" s="1"/>
      <c r="Q12" s="1"/>
    </row>
    <row r="13">
      <c r="A13" s="8"/>
      <c r="B13" s="18"/>
      <c r="C13" s="1"/>
      <c r="D13" s="1"/>
      <c r="E13" s="1"/>
      <c r="F13" s="1"/>
      <c r="G13" s="1"/>
      <c r="H13" s="1"/>
      <c r="I13" s="7"/>
      <c r="J13" s="1"/>
      <c r="K13" s="1"/>
      <c r="L13" s="1"/>
      <c r="M13" s="1"/>
      <c r="N13" s="1"/>
      <c r="O13" s="1"/>
      <c r="P13" s="1"/>
      <c r="Q13" s="1"/>
    </row>
    <row r="14">
      <c r="A14" s="10" t="s">
        <v>15</v>
      </c>
      <c r="B14" s="19" t="s">
        <v>16</v>
      </c>
      <c r="C14" s="1"/>
      <c r="D14" s="1"/>
      <c r="E14" s="1"/>
      <c r="F14" s="1"/>
      <c r="G14" s="1"/>
      <c r="H14" s="1"/>
      <c r="I14" s="7"/>
      <c r="J14" s="1"/>
      <c r="K14" s="1"/>
      <c r="L14" s="1"/>
      <c r="M14" s="1"/>
      <c r="N14" s="1"/>
      <c r="O14" s="1"/>
      <c r="P14" s="1"/>
      <c r="Q14" s="1"/>
    </row>
    <row r="15">
      <c r="A15" s="8" t="s">
        <v>14</v>
      </c>
      <c r="B15" s="16">
        <v>155.3</v>
      </c>
      <c r="C15" s="1" t="s">
        <v>9</v>
      </c>
      <c r="D15" s="1"/>
      <c r="E15" s="13">
        <v>0.0</v>
      </c>
      <c r="F15" s="15">
        <v>0.02</v>
      </c>
      <c r="G15" s="15">
        <v>0.1</v>
      </c>
      <c r="H15" s="1"/>
      <c r="I15" s="7"/>
      <c r="J15" s="1"/>
      <c r="K15" s="1"/>
      <c r="L15" s="1"/>
      <c r="M15" s="1"/>
      <c r="N15" s="1"/>
      <c r="O15" s="1"/>
      <c r="P15" s="1"/>
      <c r="Q15" s="1"/>
    </row>
    <row r="16">
      <c r="A16" s="20" t="s">
        <v>17</v>
      </c>
      <c r="B16" s="16">
        <v>85.9</v>
      </c>
      <c r="C16" s="1" t="s">
        <v>9</v>
      </c>
      <c r="D16" s="1"/>
      <c r="E16" s="13">
        <v>0.0</v>
      </c>
      <c r="F16" s="15">
        <v>0.98</v>
      </c>
      <c r="G16" s="15">
        <v>0.9</v>
      </c>
      <c r="H16" s="1"/>
      <c r="I16" s="7"/>
      <c r="J16" s="1"/>
      <c r="K16" s="1"/>
      <c r="L16" s="1"/>
      <c r="M16" s="1"/>
      <c r="N16" s="1"/>
      <c r="O16" s="1"/>
      <c r="P16" s="1"/>
      <c r="Q16" s="1"/>
    </row>
    <row r="17">
      <c r="A17" s="8"/>
      <c r="B17" s="18"/>
      <c r="C17" s="1"/>
      <c r="D17" s="1"/>
      <c r="E17" s="1"/>
      <c r="F17" s="1"/>
      <c r="G17" s="1"/>
      <c r="H17" s="1"/>
      <c r="I17" s="7"/>
      <c r="J17" s="1"/>
      <c r="K17" s="1"/>
      <c r="L17" s="1"/>
      <c r="M17" s="1"/>
      <c r="N17" s="1"/>
      <c r="O17" s="1"/>
      <c r="P17" s="1"/>
      <c r="Q17" s="1"/>
    </row>
    <row r="18">
      <c r="A18" s="10" t="s">
        <v>18</v>
      </c>
      <c r="B18" s="19" t="s">
        <v>19</v>
      </c>
      <c r="C18" s="1"/>
      <c r="D18" s="1"/>
      <c r="E18" s="1"/>
      <c r="F18" s="1"/>
      <c r="G18" s="1"/>
      <c r="H18" s="1"/>
      <c r="I18" s="7"/>
      <c r="J18" s="1"/>
      <c r="K18" s="1"/>
      <c r="L18" s="1"/>
      <c r="M18" s="1"/>
      <c r="N18" s="1"/>
      <c r="O18" s="1"/>
      <c r="P18" s="1"/>
      <c r="Q18" s="1"/>
    </row>
    <row r="19">
      <c r="A19" s="8" t="s">
        <v>14</v>
      </c>
      <c r="B19" s="17">
        <v>25.0</v>
      </c>
      <c r="C19" s="1" t="s">
        <v>9</v>
      </c>
      <c r="D19" s="1"/>
      <c r="E19" s="13">
        <v>0.0</v>
      </c>
      <c r="F19" s="15">
        <v>0.3</v>
      </c>
      <c r="G19" s="15">
        <v>0.8</v>
      </c>
      <c r="H19" s="1"/>
      <c r="I19" s="7"/>
      <c r="J19" s="1"/>
      <c r="K19" s="1"/>
      <c r="L19" s="1"/>
      <c r="M19" s="1"/>
      <c r="N19" s="1"/>
      <c r="O19" s="1"/>
      <c r="P19" s="1"/>
      <c r="Q19" s="1"/>
    </row>
    <row r="20">
      <c r="A20" s="8" t="s">
        <v>20</v>
      </c>
      <c r="B20" s="17">
        <v>1.0</v>
      </c>
      <c r="C20" s="1" t="s">
        <v>9</v>
      </c>
      <c r="D20" s="1"/>
      <c r="E20" s="15">
        <v>1.0</v>
      </c>
      <c r="F20" s="15">
        <v>0.7</v>
      </c>
      <c r="G20" s="15">
        <v>0.2</v>
      </c>
      <c r="H20" s="1"/>
      <c r="I20" s="7"/>
      <c r="J20" s="1"/>
      <c r="K20" s="1"/>
      <c r="L20" s="1"/>
      <c r="M20" s="1"/>
      <c r="N20" s="1"/>
      <c r="O20" s="1"/>
      <c r="P20" s="1"/>
      <c r="Q20" s="1"/>
    </row>
    <row r="21">
      <c r="A21" s="8"/>
      <c r="B21" s="1"/>
      <c r="C21" s="1"/>
      <c r="D21" s="1"/>
      <c r="E21" s="1"/>
      <c r="F21" s="1"/>
      <c r="G21" s="1"/>
      <c r="H21" s="1"/>
      <c r="I21" s="7"/>
      <c r="J21" s="1"/>
      <c r="K21" s="1"/>
      <c r="L21" s="1"/>
      <c r="M21" s="1"/>
      <c r="N21" s="1"/>
      <c r="O21" s="1"/>
      <c r="P21" s="1"/>
      <c r="Q21" s="1"/>
    </row>
    <row r="22">
      <c r="A22" s="10" t="s">
        <v>21</v>
      </c>
      <c r="B22" s="11" t="s">
        <v>7</v>
      </c>
      <c r="C22" s="1"/>
      <c r="D22" s="1"/>
      <c r="E22" s="1"/>
      <c r="F22" s="1"/>
      <c r="G22" s="1"/>
      <c r="H22" s="1"/>
      <c r="I22" s="7"/>
      <c r="J22" s="1"/>
      <c r="K22" s="2"/>
      <c r="L22" s="3"/>
      <c r="M22" s="3"/>
      <c r="N22" s="3"/>
      <c r="O22" s="3"/>
      <c r="P22" s="3"/>
      <c r="Q22" s="4"/>
    </row>
    <row r="23">
      <c r="A23" s="8" t="s">
        <v>22</v>
      </c>
      <c r="B23" s="21">
        <v>1000000.0</v>
      </c>
      <c r="C23" s="1" t="s">
        <v>23</v>
      </c>
      <c r="D23" s="1"/>
      <c r="E23" s="13">
        <v>0.0</v>
      </c>
      <c r="F23" s="13">
        <v>0.0</v>
      </c>
      <c r="G23" s="13">
        <v>0.0</v>
      </c>
      <c r="H23" s="1"/>
      <c r="I23" s="7"/>
      <c r="J23" s="1"/>
      <c r="K23" s="8"/>
      <c r="L23" s="22" t="s">
        <v>24</v>
      </c>
      <c r="M23" s="22"/>
      <c r="N23" s="22"/>
      <c r="O23" s="22" t="s">
        <v>25</v>
      </c>
      <c r="P23" s="22"/>
      <c r="Q23" s="7"/>
    </row>
    <row r="24">
      <c r="A24" s="8" t="s">
        <v>26</v>
      </c>
      <c r="B24" s="17">
        <v>5.0</v>
      </c>
      <c r="C24" s="1" t="s">
        <v>9</v>
      </c>
      <c r="D24" s="1"/>
      <c r="E24" s="14">
        <v>0.0</v>
      </c>
      <c r="F24" s="15">
        <v>0.8</v>
      </c>
      <c r="G24" s="15">
        <v>0.35</v>
      </c>
      <c r="H24" s="1"/>
      <c r="I24" s="7"/>
      <c r="J24" s="1"/>
      <c r="K24" s="8"/>
      <c r="L24" s="22" t="str">
        <f>E5</f>
        <v>"off"</v>
      </c>
      <c r="M24" s="23">
        <f>SUMPRODUCT(B7:B30, E7:E30)</f>
        <v>1.89</v>
      </c>
      <c r="N24" s="22" t="s">
        <v>9</v>
      </c>
      <c r="O24" s="24">
        <f t="shared" ref="O24:O26" si="1">$M$33/M24</f>
        <v>2642.857143</v>
      </c>
      <c r="P24" s="22" t="s">
        <v>27</v>
      </c>
      <c r="Q24" s="7"/>
    </row>
    <row r="25">
      <c r="A25" s="8" t="s">
        <v>28</v>
      </c>
      <c r="B25" s="17">
        <v>19.0</v>
      </c>
      <c r="C25" s="1" t="s">
        <v>9</v>
      </c>
      <c r="D25" s="1"/>
      <c r="E25" s="13">
        <v>0.0</v>
      </c>
      <c r="F25" s="15">
        <v>0.02</v>
      </c>
      <c r="G25" s="15">
        <v>0.2</v>
      </c>
      <c r="H25" s="1"/>
      <c r="I25" s="7"/>
      <c r="J25" s="1"/>
      <c r="K25" s="8"/>
      <c r="L25" s="22" t="str">
        <f>F5</f>
        <v>"sensing"</v>
      </c>
      <c r="M25" s="23">
        <f>SUMPRODUCT(B7:B30, F7:F30)</f>
        <v>121.0675</v>
      </c>
      <c r="N25" s="22" t="s">
        <v>9</v>
      </c>
      <c r="O25" s="24">
        <f t="shared" si="1"/>
        <v>41.25797592</v>
      </c>
      <c r="P25" s="22" t="s">
        <v>27</v>
      </c>
      <c r="Q25" s="7"/>
    </row>
    <row r="26">
      <c r="A26" s="8" t="s">
        <v>29</v>
      </c>
      <c r="B26" s="17">
        <v>11.0</v>
      </c>
      <c r="C26" s="1" t="s">
        <v>9</v>
      </c>
      <c r="D26" s="1"/>
      <c r="E26" s="13">
        <v>0.0</v>
      </c>
      <c r="F26" s="15">
        <v>0.18</v>
      </c>
      <c r="G26" s="15">
        <v>0.45</v>
      </c>
      <c r="H26" s="1"/>
      <c r="I26" s="7"/>
      <c r="J26" s="1"/>
      <c r="K26" s="8"/>
      <c r="L26" s="22" t="str">
        <f>G5</f>
        <v>"interactive"</v>
      </c>
      <c r="M26" s="23">
        <f>SUMPRODUCT(B7:B30, G7:G30)</f>
        <v>201.432</v>
      </c>
      <c r="N26" s="22" t="s">
        <v>9</v>
      </c>
      <c r="O26" s="24">
        <f t="shared" si="1"/>
        <v>24.79745026</v>
      </c>
      <c r="P26" s="22" t="s">
        <v>27</v>
      </c>
      <c r="Q26" s="7"/>
    </row>
    <row r="27">
      <c r="A27" s="25"/>
      <c r="B27" s="26"/>
      <c r="C27" s="1"/>
      <c r="D27" s="1"/>
      <c r="E27" s="26"/>
      <c r="F27" s="26"/>
      <c r="G27" s="27"/>
      <c r="H27" s="1"/>
      <c r="I27" s="7"/>
      <c r="J27" s="1"/>
      <c r="K27" s="8"/>
      <c r="L27" s="1"/>
      <c r="M27" s="1"/>
      <c r="N27" s="1"/>
      <c r="O27" s="1"/>
      <c r="P27" s="1"/>
      <c r="Q27" s="7"/>
    </row>
    <row r="28">
      <c r="A28" s="25" t="s">
        <v>30</v>
      </c>
      <c r="B28" s="26">
        <v>0.0</v>
      </c>
      <c r="C28" s="1"/>
      <c r="D28" s="1"/>
      <c r="E28" s="28">
        <v>0.0</v>
      </c>
      <c r="F28" s="28">
        <v>0.0</v>
      </c>
      <c r="G28" s="29">
        <v>0.01</v>
      </c>
      <c r="H28" s="1"/>
      <c r="I28" s="7"/>
      <c r="J28" s="1"/>
      <c r="K28" s="8"/>
      <c r="L28" s="1"/>
      <c r="M28" s="1"/>
      <c r="N28" s="1"/>
      <c r="O28" s="1"/>
      <c r="P28" s="1"/>
      <c r="Q28" s="7"/>
    </row>
    <row r="29">
      <c r="A29" s="25"/>
      <c r="B29" s="1"/>
      <c r="C29" s="1"/>
      <c r="D29" s="1"/>
      <c r="E29" s="1"/>
      <c r="F29" s="1"/>
      <c r="G29" s="1"/>
      <c r="H29" s="1"/>
      <c r="I29" s="7"/>
      <c r="J29" s="1"/>
      <c r="K29" s="8"/>
      <c r="L29" s="1"/>
      <c r="M29" s="1"/>
      <c r="N29" s="1"/>
      <c r="O29" s="1"/>
      <c r="P29" s="1"/>
      <c r="Q29" s="7"/>
    </row>
    <row r="30">
      <c r="A30" s="25" t="s">
        <v>31</v>
      </c>
      <c r="B30" s="26">
        <v>0.0</v>
      </c>
      <c r="C30" s="1"/>
      <c r="D30" s="1"/>
      <c r="E30" s="28">
        <v>0.0</v>
      </c>
      <c r="F30" s="28">
        <v>0.0</v>
      </c>
      <c r="G30" s="28">
        <v>0.0</v>
      </c>
      <c r="H30" s="1"/>
      <c r="I30" s="7"/>
      <c r="J30" s="1"/>
      <c r="K30" s="8"/>
      <c r="L30" s="1"/>
      <c r="M30" s="1"/>
      <c r="N30" s="1"/>
      <c r="O30" s="1"/>
      <c r="P30" s="1"/>
      <c r="Q30" s="7"/>
    </row>
    <row r="31">
      <c r="A31" s="25"/>
      <c r="B31" s="1"/>
      <c r="C31" s="1"/>
      <c r="D31" s="1"/>
      <c r="F31" s="1"/>
      <c r="G31" s="1"/>
      <c r="H31" s="1"/>
      <c r="I31" s="7"/>
      <c r="J31" s="1"/>
      <c r="K31" s="8"/>
      <c r="L31" s="1"/>
      <c r="M31" s="1"/>
      <c r="N31" s="1"/>
      <c r="O31" s="1"/>
      <c r="P31" s="1"/>
      <c r="Q31" s="7"/>
    </row>
    <row r="32">
      <c r="A32" s="8"/>
      <c r="B32" s="1"/>
      <c r="C32" s="1"/>
      <c r="D32" s="1"/>
      <c r="E32" s="28">
        <v>13.0</v>
      </c>
      <c r="F32" s="21">
        <v>9.0</v>
      </c>
      <c r="G32" s="21">
        <v>2.0</v>
      </c>
      <c r="H32" s="1" t="s">
        <v>32</v>
      </c>
      <c r="I32" s="7"/>
      <c r="J32" s="1"/>
      <c r="K32" s="8"/>
      <c r="L32" s="1" t="s">
        <v>33</v>
      </c>
      <c r="M32" s="1"/>
      <c r="N32" s="1"/>
      <c r="O32" s="1"/>
      <c r="P32" s="1"/>
      <c r="Q32" s="7"/>
    </row>
    <row r="33">
      <c r="A33" s="5" t="s">
        <v>34</v>
      </c>
      <c r="B33" s="1"/>
      <c r="C33" s="1"/>
      <c r="D33" s="1"/>
      <c r="E33" s="1"/>
      <c r="F33" s="1"/>
      <c r="G33" s="1"/>
      <c r="H33" s="1"/>
      <c r="I33" s="7"/>
      <c r="J33" s="1"/>
      <c r="K33" s="8"/>
      <c r="L33" s="1"/>
      <c r="M33" s="30">
        <f>B34*B35*B36</f>
        <v>4995</v>
      </c>
      <c r="N33" s="1" t="s">
        <v>35</v>
      </c>
      <c r="O33" s="1"/>
      <c r="P33" s="1"/>
      <c r="Q33" s="7"/>
    </row>
    <row r="34">
      <c r="A34" s="8" t="s">
        <v>36</v>
      </c>
      <c r="B34" s="17">
        <v>1500.0</v>
      </c>
      <c r="C34" s="1" t="s">
        <v>37</v>
      </c>
      <c r="D34" s="1"/>
      <c r="E34" s="1"/>
      <c r="F34" s="1"/>
      <c r="G34" s="1"/>
      <c r="H34" s="1"/>
      <c r="I34" s="7"/>
      <c r="J34" s="1"/>
      <c r="K34" s="8"/>
      <c r="L34" s="1"/>
      <c r="M34" s="1"/>
      <c r="N34" s="1"/>
      <c r="O34" s="1"/>
      <c r="P34" s="1"/>
      <c r="Q34" s="7"/>
    </row>
    <row r="35">
      <c r="A35" s="8" t="s">
        <v>38</v>
      </c>
      <c r="B35" s="17">
        <v>3.7</v>
      </c>
      <c r="C35" s="1" t="s">
        <v>39</v>
      </c>
      <c r="D35" s="1"/>
      <c r="E35" s="1"/>
      <c r="F35" s="1"/>
      <c r="G35" s="1"/>
      <c r="H35" s="1"/>
      <c r="I35" s="7"/>
      <c r="J35" s="1"/>
      <c r="K35" s="8"/>
      <c r="L35" s="31" t="s">
        <v>40</v>
      </c>
      <c r="M35" s="32">
        <f>M33/(E32*M24+F32*M25+G32*M26)</f>
        <v>3.292592853</v>
      </c>
      <c r="N35" s="31" t="s">
        <v>41</v>
      </c>
      <c r="O35" s="1"/>
      <c r="P35" s="1"/>
      <c r="Q35" s="7"/>
    </row>
    <row r="36">
      <c r="A36" s="8" t="s">
        <v>42</v>
      </c>
      <c r="B36" s="15">
        <v>0.9</v>
      </c>
      <c r="C36" s="1"/>
      <c r="D36" s="1"/>
      <c r="E36" s="1"/>
      <c r="F36" s="1"/>
      <c r="G36" s="1"/>
      <c r="H36" s="1"/>
      <c r="I36" s="7"/>
      <c r="J36" s="1"/>
      <c r="K36" s="8"/>
      <c r="L36" s="31" t="s">
        <v>43</v>
      </c>
      <c r="M36" s="32">
        <f>M35*24</f>
        <v>79.02222846</v>
      </c>
      <c r="N36" s="31" t="s">
        <v>27</v>
      </c>
      <c r="O36" s="1"/>
      <c r="P36" s="1"/>
      <c r="Q36" s="7"/>
    </row>
    <row r="37">
      <c r="A37" s="33"/>
      <c r="B37" s="34"/>
      <c r="C37" s="34"/>
      <c r="D37" s="34"/>
      <c r="E37" s="34"/>
      <c r="F37" s="34"/>
      <c r="G37" s="34"/>
      <c r="H37" s="34"/>
      <c r="I37" s="35"/>
      <c r="J37" s="1"/>
      <c r="K37" s="33"/>
      <c r="L37" s="34"/>
      <c r="M37" s="34"/>
      <c r="N37" s="34"/>
      <c r="O37" s="34"/>
      <c r="P37" s="34"/>
      <c r="Q37" s="35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36" t="s">
        <v>44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26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6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37" t="s">
        <v>45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3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3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37" t="s">
        <v>46</v>
      </c>
    </row>
    <row r="47">
      <c r="A47" s="38"/>
    </row>
    <row r="48">
      <c r="A48" s="37" t="s">
        <v>47</v>
      </c>
    </row>
    <row r="49">
      <c r="A49" s="39" t="s">
        <v>48</v>
      </c>
    </row>
  </sheetData>
  <hyperlinks>
    <hyperlink r:id="rId1" ref="B6"/>
    <hyperlink r:id="rId2" ref="B11"/>
    <hyperlink r:id="rId3" ref="B14"/>
    <hyperlink r:id="rId4" ref="B18"/>
    <hyperlink r:id="rId5" ref="B22"/>
  </hyperlinks>
  <drawing r:id="rId6"/>
</worksheet>
</file>